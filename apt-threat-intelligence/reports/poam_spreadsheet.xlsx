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codeName="ThisWorkbook" autoCompressPictures="0"/>
  <mc:AlternateContent xmlns:mc="http://schemas.openxmlformats.org/markup-compatibility/2006">
    <mc:Choice Requires="x15">
      <x15ac:absPath xmlns:x15ac="http://schemas.microsoft.com/office/spreadsheetml/2010/11/ac" url="https://d.docs.live.net/593babb14c60dc34/Documents/Academics/pikes-peak-state-college/cng20571n1_network-defense-and-countermeasures/assignments/course-project/project_part-2/"/>
    </mc:Choice>
  </mc:AlternateContent>
  <xr:revisionPtr revIDLastSave="0" documentId="8_{70482787-4B5D-4E66-95AF-10F210B640D3}" xr6:coauthVersionLast="47" xr6:coauthVersionMax="47" xr10:uidLastSave="{00000000-0000-0000-0000-000000000000}"/>
  <bookViews>
    <workbookView xWindow="3120" yWindow="3120" windowWidth="29385" windowHeight="15345" xr2:uid="{00000000-000D-0000-FFFF-FFFF00000000}"/>
  </bookViews>
  <sheets>
    <sheet name="Open POA&amp;M Items" sheetId="1" r:id="rId1"/>
    <sheet name="Closed POA&amp;M Items" sheetId="2" r:id="rId2"/>
    <sheet name="Record of Changes" sheetId="3" r:id="rId3"/>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<sst xmlns="http://schemas.openxmlformats.org/spreadsheetml/2006/main" count="376" uniqueCount="136">
  <si>
    <t xml:space="preserve">               </t>
  </si>
  <si>
    <t xml:space="preserve">                          </t>
  </si>
  <si>
    <t>System Name</t>
  </si>
  <si>
    <t>Impact Level</t>
  </si>
  <si>
    <t>POAM Date</t>
  </si>
  <si>
    <t>High</t>
  </si>
  <si>
    <t>Date</t>
  </si>
  <si>
    <t>POAM ID</t>
  </si>
  <si>
    <t>Controls</t>
  </si>
  <si>
    <t>Weakness Name</t>
  </si>
  <si>
    <t>Weakness Description</t>
  </si>
  <si>
    <t>Weakness Detector Source</t>
  </si>
  <si>
    <t>Weakness Source Identifier</t>
  </si>
  <si>
    <t>Asset Identifier</t>
  </si>
  <si>
    <t>Point of Contact</t>
  </si>
  <si>
    <t>Resources Required</t>
  </si>
  <si>
    <t>Overall Remediation Plan</t>
  </si>
  <si>
    <t>Original Detection Date</t>
  </si>
  <si>
    <t>Scheduled Completion Date</t>
  </si>
  <si>
    <t>Planned Milestones</t>
  </si>
  <si>
    <t>Milestone Changes</t>
  </si>
  <si>
    <t>Status Date</t>
  </si>
  <si>
    <t>Vendor Dependency</t>
  </si>
  <si>
    <t>Last Vendor Check-in Date</t>
  </si>
  <si>
    <t>Vendor Dependent Product Name</t>
  </si>
  <si>
    <t>Original Risk Rating</t>
  </si>
  <si>
    <t>Adjusted Risk Rating</t>
  </si>
  <si>
    <t>Risk Adjustment</t>
  </si>
  <si>
    <t>False Positive</t>
  </si>
  <si>
    <t>Operational Requirement</t>
  </si>
  <si>
    <t>Deviation Rationale</t>
  </si>
  <si>
    <t>Supporting Documents</t>
  </si>
  <si>
    <t>Comments</t>
  </si>
  <si>
    <t>Auto-Approve</t>
  </si>
  <si>
    <t>CVE</t>
  </si>
  <si>
    <t>Unique identifier for each POAM Item</t>
  </si>
  <si>
    <t>The scanner name or other source that detected the vulnerability</t>
  </si>
  <si>
    <t>Vulnerability identifier (Plugin ID) as provided by scanner
(plugin ID/None)</t>
  </si>
  <si>
    <t>Identifier Specified in the Inventory
This is a unique string associated with the asset, it could just be IP, or any arbitrary naming scheme
This Field should include the complete identifier (no short hand).
Each Asset should be separated by a new line (Alt+Enter)</t>
  </si>
  <si>
    <t>Person Responsible for implementing this task</t>
  </si>
  <si>
    <t>Specify resources needed beyond current resources to mitigate task.</t>
  </si>
  <si>
    <t>General overview of the remediation plan</t>
  </si>
  <si>
    <t>Date the weakness was first identified
(aka Discovery Date)</t>
  </si>
  <si>
    <t>Permanent Column
Date of intended completion</t>
  </si>
  <si>
    <t>Permanent Column
List of proposed Milestones, separated with a blank line (Alt+Enter)
Any alterations should be made in "Milestone Changes" 
Milestone Number should be unique to each milestone</t>
  </si>
  <si>
    <t>Any alterations, status updates, or additions to the milestones.
(Milestone Number) [Type of update] [milestone date] : How and why the date changed, or the milestone was altered
Create a new Milestone Number for new Milestones</t>
  </si>
  <si>
    <t>Date POA&amp;M item was last changed or closed</t>
  </si>
  <si>
    <t>Whether or not this item is vendor dependent.</t>
  </si>
  <si>
    <t>Date of last vendor check-in, if applicable</t>
  </si>
  <si>
    <t>Name of the product that is dependent upon the vendor.</t>
  </si>
  <si>
    <t>Provide the Original Risk Rating from the scanner</t>
  </si>
  <si>
    <t>Provide the Adjusted Risk Rating as approved by the AO</t>
  </si>
  <si>
    <t>Whether there was a Risk Adjustment</t>
  </si>
  <si>
    <t>Whether this weakness should be considered a False Positive</t>
  </si>
  <si>
    <t>Whether this weakness should be considered an Operational Requirement</t>
  </si>
  <si>
    <t>Information about the Deviation</t>
  </si>
  <si>
    <t>List any supporting documents that are associated with this item
(e.g. Deviation Request, Evidence of Remediation, Evidence of Vendor Dependency, etc)</t>
  </si>
  <si>
    <t>This column is for additional information, not specified in another column</t>
  </si>
  <si>
    <t>Whether the deviation request was auto-approved.</t>
  </si>
  <si>
    <t>The associated CVE numbers for this vulnerability</t>
  </si>
  <si>
    <t>Unique Identifier</t>
  </si>
  <si>
    <t>Control Number</t>
  </si>
  <si>
    <t>Text</t>
  </si>
  <si>
    <t>[Nessus, Qualys, Webinspect, Security Assessment Report, etc]</t>
  </si>
  <si>
    <t>Identifier</t>
  </si>
  <si>
    <t>Identifier (port/protocol)</t>
  </si>
  <si>
    <t>(##) xxxx-xx-xx: Milestone Description</t>
  </si>
  <si>
    <t>(##) New/Update/Complete xxxx-xx-xx  : Description of change</t>
  </si>
  <si>
    <t>Yes, No</t>
  </si>
  <si>
    <t>Product Name</t>
  </si>
  <si>
    <t>Low, Moderate, High</t>
  </si>
  <si>
    <t>Low, Moderate, High, N/A</t>
  </si>
  <si>
    <t>Yes, No, Pending</t>
  </si>
  <si>
    <t>Deviation Type : Rationale</t>
  </si>
  <si>
    <t>Document Type : Document Name</t>
  </si>
  <si>
    <t xml:space="preserve">N/A  </t>
  </si>
  <si>
    <t>To Be Completed by Supervisor</t>
  </si>
  <si>
    <t>Implement a technical solution to the problem.</t>
  </si>
  <si>
    <t>N/A - Initial POAM</t>
  </si>
  <si>
    <t>No</t>
  </si>
  <si>
    <t>Moderate</t>
  </si>
  <si>
    <t>Pending</t>
  </si>
  <si>
    <t>none</t>
  </si>
  <si>
    <t>no</t>
  </si>
  <si>
    <t>FedRAMP Plan of Action and Milestones (POA&amp;M) Template</t>
  </si>
  <si>
    <t>Low</t>
  </si>
  <si>
    <t>Record of Changes for Template</t>
  </si>
  <si>
    <t>Description</t>
  </si>
  <si>
    <t>Version</t>
  </si>
  <si>
    <t>Author</t>
  </si>
  <si>
    <t>Updated to align with FedRAMP branding and minor editorial changes.</t>
  </si>
  <si>
    <t>Control</t>
  </si>
  <si>
    <t>Control Description</t>
  </si>
  <si>
    <t>MITRE ATT&amp;CK Technique(s) to be Mitigated</t>
  </si>
  <si>
    <t>System Monitoring: Monitor the system to detect attacks and indicators of potential attacks; unauthorized local, network, and remote connections; unauthorized use of  systems.</t>
  </si>
  <si>
    <t>Summary of what the control accomplishes</t>
  </si>
  <si>
    <t>Applicable  800-53 Control</t>
  </si>
  <si>
    <t>CM-07</t>
  </si>
  <si>
    <t>Least Functionality: Configure the system to provide only essential capabilities, services, ports, protocols, software, and functions required for mission operations.</t>
  </si>
  <si>
    <t>T1059; T1190; T1078; T1083; T1105</t>
  </si>
  <si>
    <t>SI-04</t>
  </si>
  <si>
    <t>CA-07</t>
  </si>
  <si>
    <t>Continuous Monitoring: Develop and implement a continuous monitoring strategy to maintain ongoing awareness of control effectiveness, vulnerabilities, and threat activity.</t>
  </si>
  <si>
    <t>AC-06</t>
  </si>
  <si>
    <t>Least Privilege: Employ the principle of least privilege, allowing only authorized access necessary to accomplish assigned tasks and limiting abuse of compromised accounts.</t>
  </si>
  <si>
    <t>N/A</t>
  </si>
  <si>
    <t>IA-02</t>
  </si>
  <si>
    <t>Identification and Authentication (Organizational Users): Uniquely identify and authenticate organizational users and enforce stronger access assurance mechanisms such as multi-factor authentication.</t>
  </si>
  <si>
    <t>CM-06</t>
  </si>
  <si>
    <t>Configuration Settings: Establish, document, implement, and monitor secure configuration settings for information technology products employed within the system.</t>
  </si>
  <si>
    <t>T1059; T1190; T1105; T1083</t>
  </si>
  <si>
    <t>SC-07</t>
  </si>
  <si>
    <t>Boundary Protection: Monitor and control communications at external and internal system boundaries to prevent unauthorized access and data transfer.</t>
  </si>
  <si>
    <t>T1190; T1105; T1078</t>
  </si>
  <si>
    <t>RA-05</t>
  </si>
  <si>
    <t>Vulnerability Monitoring and Scanning: Scan for vulnerabilities in the system and hosted applications and remediate identified weaknesses before exploitation occurs.</t>
  </si>
  <si>
    <t>SI-03</t>
  </si>
  <si>
    <t>Malicious Code Protection: Implement malicious code protection mechanisms at system entry and exit point and on endpoints to detect and eradicate malicious code.</t>
  </si>
  <si>
    <t>Exploit Public-Facing Application; Ingress Tool Transfer; Valid Accounts</t>
  </si>
  <si>
    <t>T1059; T1105</t>
  </si>
  <si>
    <t>AC-02</t>
  </si>
  <si>
    <t>Account Management: Manage information system accounts, including establishing activating, modifying, reviewing, disabling, and removing accounts.</t>
  </si>
  <si>
    <t>Valid Accounts; File and Directory Discovery</t>
  </si>
  <si>
    <t>T1078; T1083</t>
  </si>
  <si>
    <t>Command and Scripting Interpreter; Exploit Public-Facing Application; Valid Accounts; File and Directory Discovery; Ingress Tool Transfer</t>
  </si>
  <si>
    <t>Valid Accounts; Command and Scripting Interpreter; File and Directory Discovery</t>
  </si>
  <si>
    <t>Command and Scripting Interpreter; Exploit Public-Facing Application; Ingress Tool Transfer; File and Directory Discovery</t>
  </si>
  <si>
    <t>Command and Scripting Interpreter; Ingress Tool Transfer</t>
  </si>
  <si>
    <t>T1078; T1059; T1083</t>
  </si>
  <si>
    <t>Ryan Verrot</t>
  </si>
  <si>
    <t>Course Project: Part Two</t>
  </si>
  <si>
    <t>MITRE ATT&amp;CK Framework v16.1</t>
  </si>
  <si>
    <t>Name</t>
  </si>
  <si>
    <t>Plan of Action and Milestones (POA&amp;M)</t>
  </si>
  <si>
    <t>Exploit Public-Facing Application</t>
  </si>
  <si>
    <t>T1190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</si>
</sst>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21" x14ac:knownFonts="1">
    <font>
      <sz val="10"/>
      <name val="Arial"/>
    </font>
    <font>
      <sz val="10"/>
      <name val="Arial"/>
      <family val="2"/>
    </font>
    <font>
      <sz val="10"/>
      <color theme="0" tint="-0.34998626667073579"/>
      <name val="Arial"/>
      <family val="2"/>
    </font>
    <font>
      <b/>
      <sz val="10"/>
      <color rgb="FF000000"/>
      <name val="Arial"/>
      <family val="2"/>
    </font>
    <font>
      <b/>
      <sz val="18"/>
      <color rgb="FF1A4480"/>
      <name val="Arial"/>
      <family val="2"/>
    </font>
    <font>
      <b/>
      <sz val="10"/>
      <color rgb="FF1A4480"/>
      <name val="Arial"/>
      <family val="2"/>
    </font>
    <font>
      <sz val="10"/>
      <color rgb="FF444444"/>
      <name val="Arial"/>
      <family val="2"/>
    </font>
    <font>
      <sz val="18"/>
      <color rgb="FF002060"/>
      <name val="Times New Roman"/>
      <family val="1"/>
    </font>
    <font>
      <sz val="11"/>
      <color theme="1"/>
      <name val="Calibri"/>
      <family val="2"/>
    </font>
    <font>
      <sz val="11"/>
      <color theme="1"/>
      <name val="Calibri"/>
      <family val="2"/>
      <scheme val="minor"/>
    </font>
    <font>
      <b/>
      <sz val="12"/>
      <color theme="5"/>
      <name val="Calibri"/>
      <family val="2"/>
      <scheme val="minor"/>
    </font>
    <font>
      <sz val="11"/>
      <color theme="5"/>
      <name val="Calibri"/>
      <family val="2"/>
      <scheme val="minor"/>
    </font>
    <font>
      <b/>
      <sz val="10"/>
      <color rgb="FF1A4480"/>
      <name val="Calibri"/>
      <family val="2"/>
      <scheme val="minor"/>
    </font>
    <font>
      <sz val="10"/>
      <color rgb="FF444444"/>
      <name val="Calibri"/>
      <family val="2"/>
      <scheme val="minor"/>
    </font>
    <font>
      <sz val="10"/>
      <color rgb="FF000000"/>
      <name val="Calibri"/>
      <family val="2"/>
      <scheme val="minor"/>
    </font>
    <font>
      <sz val="10"/>
      <color theme="1"/>
      <name val="Arial"/>
      <family val="2"/>
    </font>
    <font>
      <i/>
      <sz val="10"/>
      <name val="Arial"/>
      <family val="2"/>
    </font>
    <font>
      <sz val="8"/>
      <name val="Arial"/>
      <family val="2"/>
    </font>
    <font>
      <b/>
      <u/>
      <sz val="10"/>
      <color theme="0"/>
      <name val="Arial"/>
      <family val="2"/>
    </font>
    <font>
      <b/>
      <u/>
      <sz val="10"/>
      <name val="Arial"/>
      <family val="2"/>
    </font>
    <font>
      <i/>
      <sz val="10"/>
      <color rgb="FF000000"/>
      <name val="Arial"/>
      <family val="2"/>
    </font>
  </fonts>
  <fills count="11">
    <fill>
      <patternFill patternType="none"/>
    </fill>
    <fill>
      <patternFill patternType="gray125"/>
    </fill>
    <fill>
      <patternFill patternType="none"/>
    </fill>
    <fill>
      <patternFill patternType="solid">
        <fgColor rgb="FFCCECFC"/>
        <bgColor rgb="FFCCECFC"/>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FFFFFF"/>
        <bgColor indexed="64"/>
      </patternFill>
    </fill>
    <fill>
      <patternFill patternType="solid">
        <fgColor rgb="FFF2F2F2"/>
        <bgColor indexed="64"/>
      </patternFill>
    </fill>
    <fill>
      <patternFill patternType="solid">
        <fgColor rgb="FF1A4480"/>
        <bgColor theme="0"/>
      </patternFill>
    </fill>
    <fill>
      <patternFill patternType="solid">
        <fgColor rgb="FFF2F2F2"/>
        <bgColor rgb="FFF2F2F2"/>
      </patternFill>
    </fill>
    <fill>
      <patternFill patternType="solid">
        <fgColor rgb="FFCCECFC"/>
        <bgColor theme="8"/>
      </patternFill>
    </fill>
  </fills>
  <borders count="6">
    <border>
      <left/>
      <right/>
      <top/>
      <bottom/>
      <diagonal/>
    </border>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65">
    <xf numFmtId="0" fontId="0" fillId="0" borderId="0" xfId="0"/>
    <xf numFmtId="0" fontId="0" fillId="0" borderId="0" xfId="0" applyProtection="1">
      <protection locked="0"/>
    </xf>
    <xf numFmtId="0" fontId="1" fillId="0" borderId="0" xfId="0" applyFont="1" applyProtection="1">
      <protection locked="0"/>
    </xf>
    <xf numFmtId="0" fontId="0" fillId="0" borderId="1" xfId="0" applyBorder="1" applyProtection="1">
      <protection locked="0"/>
    </xf>
    <xf numFmtId="164" fontId="1" fillId="0" borderId="0" xfId="0" applyNumberFormat="1" applyFont="1" applyProtection="1">
      <protection locked="0"/>
    </xf>
    <xf numFmtId="0" fontId="1" fillId="0" borderId="1" xfId="0" applyFont="1" applyBorder="1" applyAlignment="1" applyProtection="1">
      <alignment wrapText="1"/>
      <protection locked="0"/>
    </xf>
    <xf numFmtId="164" fontId="1" fillId="0" borderId="1" xfId="0" applyNumberFormat="1" applyFont="1" applyBorder="1" applyAlignment="1" applyProtection="1">
      <alignment wrapText="1"/>
      <protection locked="0"/>
    </xf>
    <xf numFmtId="14" fontId="0" fillId="0" borderId="0" xfId="0" applyNumberFormat="1" applyProtection="1">
      <protection locked="0"/>
    </xf>
    <xf numFmtId="14" fontId="1" fillId="0" borderId="0" xfId="0" applyNumberFormat="1" applyFont="1" applyProtection="1">
      <protection locked="0"/>
    </xf>
    <xf numFmtId="14" fontId="3" fillId="2" borderId="1" xfId="0" applyNumberFormat="1" applyFont="1" applyFill="1" applyBorder="1" applyProtection="1">
      <protection locked="0"/>
    </xf>
    <xf numFmtId="14" fontId="1" fillId="0" borderId="1" xfId="0" applyNumberFormat="1" applyFont="1" applyBorder="1" applyProtection="1">
      <protection locked="0"/>
    </xf>
    <xf numFmtId="0" fontId="2" fillId="0" borderId="0" xfId="0" applyFont="1" applyAlignment="1" applyProtection="1">
      <alignment horizontal="left" vertical="top" wrapText="1"/>
      <protection locked="0"/>
    </xf>
    <xf numFmtId="0" fontId="3" fillId="2" borderId="1" xfId="0" applyFont="1" applyFill="1" applyBorder="1" applyProtection="1">
      <protection locked="0"/>
    </xf>
    <xf numFmtId="0" fontId="1" fillId="0" borderId="1" xfId="0" applyFont="1" applyBorder="1" applyProtection="1">
      <protection locked="0"/>
    </xf>
    <xf numFmtId="164" fontId="1" fillId="0" borderId="1" xfId="0" applyNumberFormat="1" applyFont="1" applyBorder="1" applyProtection="1">
      <protection locked="0"/>
    </xf>
    <xf numFmtId="0" fontId="5" fillId="3" borderId="2" xfId="0" applyFont="1" applyFill="1" applyBorder="1" applyAlignment="1">
      <alignment horizontal="center" vertical="top"/>
    </xf>
    <xf numFmtId="0" fontId="6" fillId="4" borderId="2" xfId="0" applyFont="1" applyFill="1" applyBorder="1" applyAlignment="1">
      <alignment horizontal="center" vertical="top"/>
    </xf>
    <xf numFmtId="14" fontId="6" fillId="4" borderId="2" xfId="0" applyNumberFormat="1" applyFont="1" applyFill="1" applyBorder="1" applyAlignment="1">
      <alignment horizontal="center" vertical="top"/>
    </xf>
    <xf numFmtId="0" fontId="6" fillId="6" borderId="2" xfId="0" applyFont="1" applyFill="1" applyBorder="1" applyAlignment="1">
      <alignment horizontal="center" vertical="top"/>
    </xf>
    <xf numFmtId="0" fontId="5" fillId="3" borderId="1" xfId="0" applyFont="1" applyFill="1" applyBorder="1" applyAlignment="1">
      <alignment horizontal="center" vertical="center" wrapText="1"/>
    </xf>
    <xf numFmtId="0" fontId="0" fillId="7" borderId="0" xfId="0" applyFill="1"/>
    <xf numFmtId="0" fontId="7" fillId="0" borderId="0" xfId="0" applyFont="1" applyAlignment="1">
      <alignment horizontal="left" vertical="center"/>
    </xf>
    <xf numFmtId="0" fontId="8" fillId="8" borderId="0" xfId="0" applyFont="1" applyFill="1"/>
    <xf numFmtId="0" fontId="9" fillId="0" borderId="0" xfId="0" applyFont="1" applyAlignment="1">
      <alignment horizontal="left" vertical="top"/>
    </xf>
    <xf numFmtId="14" fontId="13" fillId="9" borderId="0" xfId="0" applyNumberFormat="1" applyFont="1" applyFill="1" applyAlignment="1">
      <alignment horizontal="center" vertical="center" wrapText="1"/>
    </xf>
    <xf numFmtId="0" fontId="13" fillId="9" borderId="0" xfId="0" applyFont="1" applyFill="1" applyAlignment="1">
      <alignment vertical="center" wrapText="1"/>
    </xf>
    <xf numFmtId="165" fontId="13" fillId="9" borderId="0" xfId="0" applyNumberFormat="1" applyFont="1" applyFill="1" applyAlignment="1">
      <alignment horizontal="center" vertical="center" wrapText="1"/>
    </xf>
    <xf numFmtId="0" fontId="13" fillId="9" borderId="0" xfId="0" applyFont="1" applyFill="1" applyAlignment="1">
      <alignment horizontal="center" vertical="center" wrapText="1"/>
    </xf>
    <xf numFmtId="14" fontId="0" fillId="0" borderId="0" xfId="0" applyNumberFormat="1"/>
    <xf numFmtId="0" fontId="0" fillId="0" borderId="0" xfId="0" applyAlignment="1">
      <alignment wrapText="1"/>
    </xf>
    <xf numFmtId="0" fontId="12" fillId="10" borderId="0" xfId="0" applyFont="1" applyFill="1" applyAlignment="1">
      <alignment horizontal="center" vertical="center" wrapText="1"/>
    </xf>
    <xf numFmtId="14" fontId="0" fillId="7" borderId="0" xfId="0" applyNumberFormat="1" applyFill="1"/>
    <xf numFmtId="0" fontId="14" fillId="7" borderId="0" xfId="0" applyFont="1" applyFill="1" applyAlignment="1">
      <alignment wrapText="1"/>
    </xf>
    <xf numFmtId="0" fontId="1" fillId="0" borderId="0" xfId="0" applyFont="1" applyAlignment="1" applyProtection="1">
      <alignment vertical="top"/>
      <protection locked="0"/>
    </xf>
    <xf numFmtId="0" fontId="0" fillId="0" borderId="0" xfId="0"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8" fillId="5" borderId="1" xfId="0" applyFont="1" applyFill="1" applyBorder="1" applyAlignment="1">
      <alignment vertical="top" wrapText="1"/>
    </xf>
    <xf numFmtId="14" fontId="18" fillId="5" borderId="1" xfId="0" applyNumberFormat="1" applyFont="1" applyFill="1" applyBorder="1" applyAlignment="1">
      <alignment vertical="top" wrapText="1"/>
    </xf>
    <xf numFmtId="164" fontId="18" fillId="5" borderId="1" xfId="0" applyNumberFormat="1" applyFont="1" applyFill="1" applyBorder="1" applyAlignment="1">
      <alignment vertical="top" wrapText="1"/>
    </xf>
    <xf numFmtId="0" fontId="18" fillId="5" borderId="1" xfId="0" applyFont="1" applyFill="1" applyBorder="1" applyAlignment="1" applyProtection="1">
      <alignment vertical="top" wrapText="1"/>
      <protection locked="0"/>
    </xf>
    <xf numFmtId="0" fontId="19" fillId="0" borderId="1" xfId="0" applyFont="1" applyBorder="1" applyAlignment="1" applyProtection="1">
      <alignment vertical="top" wrapText="1"/>
      <protection locked="0"/>
    </xf>
    <xf numFmtId="164" fontId="20" fillId="2" borderId="1" xfId="0" applyNumberFormat="1" applyFont="1" applyFill="1" applyBorder="1" applyAlignment="1">
      <alignment vertical="top" wrapText="1"/>
    </xf>
    <xf numFmtId="0" fontId="20" fillId="2" borderId="1" xfId="0" applyFont="1" applyFill="1" applyBorder="1" applyAlignment="1">
      <alignment vertical="top" wrapText="1"/>
    </xf>
    <xf numFmtId="14" fontId="20" fillId="2" borderId="1" xfId="0" applyNumberFormat="1" applyFont="1" applyFill="1" applyBorder="1" applyAlignment="1">
      <alignment vertical="top" wrapText="1"/>
    </xf>
    <xf numFmtId="49" fontId="20" fillId="2" borderId="1" xfId="0" applyNumberFormat="1" applyFont="1" applyFill="1" applyBorder="1" applyAlignment="1" applyProtection="1">
      <alignment vertical="top" wrapText="1"/>
      <protection locked="0"/>
    </xf>
    <xf numFmtId="0" fontId="16" fillId="0" borderId="1" xfId="0" applyFont="1" applyBorder="1" applyAlignment="1" applyProtection="1">
      <alignment vertical="top" wrapText="1"/>
      <protection locked="0"/>
    </xf>
    <xf numFmtId="0" fontId="16" fillId="0" borderId="1" xfId="0" applyFont="1" applyBorder="1" applyAlignment="1" applyProtection="1">
      <alignment vertical="top"/>
      <protection locked="0"/>
    </xf>
    <xf numFmtId="164" fontId="16" fillId="0" borderId="1" xfId="0" applyNumberFormat="1" applyFont="1" applyBorder="1" applyAlignment="1" applyProtection="1">
      <alignment vertical="top"/>
      <protection locked="0"/>
    </xf>
    <xf numFmtId="0" fontId="1" fillId="0" borderId="1" xfId="0" applyFont="1" applyBorder="1" applyAlignment="1" applyProtection="1">
      <alignment horizontal="left" vertical="top" wrapText="1"/>
      <protection locked="0"/>
    </xf>
    <xf numFmtId="0" fontId="15" fillId="0" borderId="1" xfId="0" applyFont="1" applyBorder="1" applyAlignment="1" applyProtection="1">
      <alignment horizontal="left" vertical="top" wrapText="1"/>
      <protection locked="0"/>
    </xf>
    <xf numFmtId="49" fontId="15" fillId="0" borderId="1" xfId="0" applyNumberFormat="1" applyFont="1" applyBorder="1" applyAlignment="1" applyProtection="1">
      <alignment horizontal="left" vertical="top" wrapText="1"/>
      <protection locked="0"/>
    </xf>
    <xf numFmtId="14" fontId="15" fillId="0" borderId="1" xfId="0" applyNumberFormat="1" applyFont="1" applyBorder="1" applyAlignment="1" applyProtection="1">
      <alignment horizontal="left" vertical="top" wrapText="1"/>
      <protection locked="0"/>
    </xf>
    <xf numFmtId="0" fontId="1" fillId="0" borderId="1" xfId="0" applyFont="1" applyBorder="1" applyAlignment="1" applyProtection="1">
      <alignment horizontal="left" vertical="top"/>
      <protection locked="0"/>
    </xf>
    <xf numFmtId="0" fontId="1" fillId="0" borderId="1" xfId="0" applyFont="1" applyBorder="1" applyAlignment="1" applyProtection="1">
      <alignment vertical="top"/>
      <protection locked="0"/>
    </xf>
    <xf numFmtId="0" fontId="1" fillId="0" borderId="1" xfId="0" applyFont="1" applyBorder="1" applyAlignment="1" applyProtection="1">
      <alignment vertical="top" wrapText="1"/>
      <protection locked="0"/>
    </xf>
    <xf numFmtId="0" fontId="1" fillId="0" borderId="1" xfId="0" applyFont="1" applyBorder="1" applyAlignment="1">
      <alignment horizontal="left" vertical="top" wrapText="1"/>
    </xf>
    <xf numFmtId="0" fontId="0" fillId="0" borderId="1" xfId="0" applyBorder="1" applyAlignment="1" applyProtection="1">
      <alignment horizontal="left" vertical="top" wrapText="1"/>
      <protection locked="0"/>
    </xf>
    <xf numFmtId="49" fontId="4" fillId="0" borderId="3" xfId="0" applyNumberFormat="1" applyFont="1" applyBorder="1" applyAlignment="1">
      <alignment horizontal="left" vertical="top" wrapText="1"/>
    </xf>
    <xf numFmtId="49" fontId="4" fillId="0" borderId="4"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0" fontId="4" fillId="0" borderId="3" xfId="0" applyFont="1" applyBorder="1" applyAlignment="1">
      <alignment horizontal="left" vertical="top"/>
    </xf>
    <xf numFmtId="0" fontId="4" fillId="0" borderId="4" xfId="0" applyFont="1" applyBorder="1" applyAlignment="1">
      <alignment horizontal="left" vertical="top"/>
    </xf>
    <xf numFmtId="0" fontId="4" fillId="0" borderId="5" xfId="0" applyFont="1" applyBorder="1" applyAlignment="1">
      <alignment horizontal="left" vertical="top"/>
    </xf>
    <xf numFmtId="0" fontId="10" fillId="0" borderId="0" xfId="0" applyFont="1" applyAlignment="1">
      <alignment horizontal="center" vertical="center"/>
    </xf>
    <xf numFmtId="0" fontId="11" fillId="0" borderId="0" xfId="0" applyFont="1"/>
  </cellXfs>
  <cellStyles count="1">
    <cellStyle name="Normal" xfId="0" builtinId="0"/>
  </cellStyles>
  <dxfs count="14">
    <dxf>
      <fill>
        <patternFill patternType="solid">
          <fgColor rgb="FFB7E1CD"/>
          <bgColor rgb="FFB7E1CD"/>
        </patternFill>
      </fill>
    </dxf>
    <dxf>
      <font>
        <color rgb="FFFFFFFF"/>
      </font>
      <fill>
        <patternFill patternType="solid">
          <fgColor rgb="FF454545"/>
          <bgColor rgb="FF454545"/>
        </patternFill>
      </fill>
    </dxf>
    <dxf>
      <font>
        <color rgb="FFFFFFFF"/>
      </font>
      <fill>
        <patternFill patternType="solid">
          <fgColor rgb="FF1A98C5"/>
          <bgColor rgb="FF1A98C5"/>
        </patternFill>
      </fill>
    </dxf>
    <dxf>
      <font>
        <color rgb="FFFFFFFF"/>
      </font>
      <fill>
        <patternFill patternType="solid">
          <fgColor rgb="FFCC1D1D"/>
          <bgColor rgb="FFCC1D1D"/>
        </patternFill>
      </fill>
    </dxf>
    <dxf>
      <fill>
        <patternFill>
          <bgColor rgb="FFF2F2F2"/>
        </patternFill>
      </fill>
    </dxf>
    <dxf>
      <fill>
        <patternFill>
          <bgColor rgb="FFC00000"/>
        </patternFill>
      </fill>
    </dxf>
    <dxf>
      <fill>
        <patternFill>
          <bgColor rgb="FFC00000"/>
        </patternFill>
      </fill>
    </dxf>
    <dxf>
      <fill>
        <patternFill>
          <bgColor rgb="FFC00000"/>
        </patternFill>
      </fill>
    </dxf>
    <dxf>
      <fill>
        <patternFill>
          <bgColor rgb="FFF2F2F2"/>
        </patternFill>
      </fill>
    </dxf>
    <dxf>
      <fill>
        <patternFill patternType="solid">
          <fgColor rgb="FFB7E1CD"/>
          <bgColor rgb="FFB7E1CD"/>
        </patternFill>
      </fill>
    </dxf>
    <dxf>
      <font>
        <color rgb="FFFFFFFF"/>
      </font>
      <fill>
        <patternFill patternType="solid">
          <fgColor rgb="FF454545"/>
          <bgColor rgb="FF454545"/>
        </patternFill>
      </fill>
    </dxf>
    <dxf>
      <font>
        <color rgb="FFFFFFFF"/>
      </font>
      <fill>
        <patternFill patternType="solid">
          <fgColor rgb="FF1A98C5"/>
          <bgColor rgb="FF1A98C5"/>
        </patternFill>
      </fill>
    </dxf>
    <dxf>
      <font>
        <color rgb="FFFFFFFF"/>
      </font>
      <fill>
        <patternFill patternType="solid">
          <fgColor rgb="FFCC1D1D"/>
          <bgColor rgb="FFCC1D1D"/>
        </patternFill>
      </fill>
    </dxf>
    <dxf>
      <fill>
        <patternFill>
          <bgColor rgb="FFC00000"/>
        </patternFill>
      </fill>
    </dxf>
  </dxfs>
  <tableStyles count="0" defaultTableStyle="TableStyleMedium9" defaultPivotStyle="PivotStyleMedium4"/>
  <colors>
    <mruColors>
      <color rgb="FFF2F2F2"/>
      <color rgb="FFCCECFC"/>
      <color rgb="FFFFFFFF"/>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Z17"/>
  <sheetViews>
    <sheetView tabSelected="1" zoomScaleNormal="100" zoomScalePageLayoutView="85" workbookViewId="0">
      <pane ySplit="5" topLeftCell="A14" activePane="bottomLeft" state="frozen"/>
      <selection pane="bottomLeft" activeCell="AC1" sqref="AC1:XFD1048576"/>
    </sheetView>
  </sheetViews>
  <sheetFormatPr defaultColWidth="0" defaultRowHeight="15.75" customHeight="1" zeroHeight="1" x14ac:dyDescent="0.2"/>
  <cols>
    <col min="1" max="1" width="20.85546875" style="1" customWidth="1"/>
    <col min="2" max="2" width="21.42578125" style="1" customWidth="1"/>
    <col min="3" max="3" width="20.85546875" style="1" customWidth="1"/>
    <col min="4" max="4" width="20.7109375" style="1" customWidth="1"/>
    <col min="5" max="6" width="20.85546875" style="1" customWidth="1"/>
    <col min="7" max="9" width="20.85546875" style="3" customWidth="1"/>
    <col min="10" max="12" width="20.85546875" style="1" customWidth="1"/>
    <col min="13" max="13" width="20.85546875" style="7" customWidth="1"/>
    <col min="14" max="28" width="20.85546875" style="1" customWidth="1"/>
    <col min="29" max="29" width="20.85546875" style="1" hidden="1" customWidth="1"/>
    <col min="30" max="52" width="0" style="1" hidden="1" customWidth="1"/>
    <col min="53" max="16384" width="17.28515625" style="1" hidden="1"/>
  </cols>
  <sheetData>
    <row r="1" spans="1:52" s="2" customFormat="1" ht="26.25" customHeight="1" x14ac:dyDescent="0.2">
      <c r="A1" s="57" t="s">
        <v>133</v>
      </c>
      <c r="B1" s="58"/>
      <c r="C1" s="58"/>
      <c r="D1" s="58"/>
      <c r="E1" s="58"/>
      <c r="F1" s="59"/>
      <c r="G1" s="12"/>
      <c r="H1" s="12"/>
      <c r="I1" s="12"/>
      <c r="J1" s="12"/>
      <c r="K1" s="12"/>
      <c r="L1" s="12"/>
      <c r="M1" s="8"/>
      <c r="Q1" s="12"/>
      <c r="R1" s="12"/>
      <c r="S1" s="12"/>
      <c r="T1" s="12"/>
      <c r="U1" s="12"/>
      <c r="V1" s="12"/>
      <c r="W1" s="12"/>
      <c r="X1" s="12"/>
      <c r="Y1" s="12"/>
      <c r="Z1" s="12"/>
      <c r="AA1" s="12"/>
      <c r="AC1" s="2" t="s">
        <v>0</v>
      </c>
    </row>
    <row r="2" spans="1:52" s="2" customFormat="1" ht="14.25" customHeight="1" x14ac:dyDescent="0.2">
      <c r="A2" s="15" t="s">
        <v>132</v>
      </c>
      <c r="B2" s="15" t="s">
        <v>2</v>
      </c>
      <c r="C2" s="15" t="s">
        <v>3</v>
      </c>
      <c r="D2" s="15" t="s">
        <v>4</v>
      </c>
      <c r="F2" s="12"/>
      <c r="G2" s="12"/>
      <c r="H2" s="12"/>
      <c r="I2" s="12"/>
      <c r="J2" s="12"/>
      <c r="K2" s="12"/>
      <c r="L2" s="9"/>
      <c r="M2" s="12"/>
      <c r="N2" s="12"/>
      <c r="O2" s="12"/>
      <c r="P2" s="12"/>
      <c r="Q2" s="12"/>
      <c r="R2" s="12"/>
      <c r="S2" s="12"/>
      <c r="T2" s="12"/>
      <c r="U2" s="12"/>
      <c r="V2" s="12"/>
      <c r="W2" s="12"/>
      <c r="X2" s="12"/>
      <c r="Y2" s="12"/>
      <c r="Z2" s="12"/>
    </row>
    <row r="3" spans="1:52" s="2" customFormat="1" ht="14.1" customHeight="1" x14ac:dyDescent="0.2">
      <c r="A3" s="16" t="s">
        <v>129</v>
      </c>
      <c r="B3" s="16" t="s">
        <v>130</v>
      </c>
      <c r="C3" s="18" t="s">
        <v>5</v>
      </c>
      <c r="D3" s="17">
        <v>46145</v>
      </c>
      <c r="F3" s="13"/>
      <c r="G3" s="13"/>
      <c r="L3" s="8"/>
    </row>
    <row r="4" spans="1:52" s="4" customFormat="1" ht="23.25" customHeight="1" x14ac:dyDescent="0.2">
      <c r="F4" s="14"/>
      <c r="G4" s="14"/>
      <c r="H4" s="2"/>
      <c r="I4" s="2"/>
      <c r="J4" s="2"/>
      <c r="K4" s="2"/>
      <c r="L4" s="10"/>
      <c r="M4" s="14"/>
      <c r="N4" s="14"/>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s="14" customFormat="1" ht="28.5" customHeight="1" x14ac:dyDescent="0.2">
      <c r="A5" s="19" t="s">
        <v>7</v>
      </c>
      <c r="B5" s="19" t="s">
        <v>91</v>
      </c>
      <c r="C5" s="19" t="s">
        <v>92</v>
      </c>
      <c r="D5" s="19" t="s">
        <v>9</v>
      </c>
      <c r="E5" s="19" t="s">
        <v>12</v>
      </c>
      <c r="F5" s="19" t="s">
        <v>11</v>
      </c>
      <c r="G5" s="19" t="s">
        <v>13</v>
      </c>
      <c r="H5" s="19" t="s">
        <v>14</v>
      </c>
      <c r="I5" s="19" t="s">
        <v>15</v>
      </c>
      <c r="J5" s="19" t="s">
        <v>16</v>
      </c>
      <c r="K5" s="19" t="s">
        <v>17</v>
      </c>
      <c r="L5" s="19" t="s">
        <v>18</v>
      </c>
      <c r="M5" s="19" t="s">
        <v>19</v>
      </c>
      <c r="N5" s="19" t="s">
        <v>20</v>
      </c>
      <c r="O5" s="19" t="s">
        <v>21</v>
      </c>
      <c r="P5" s="19" t="s">
        <v>22</v>
      </c>
      <c r="Q5" s="19" t="s">
        <v>23</v>
      </c>
      <c r="R5" s="19" t="s">
        <v>24</v>
      </c>
      <c r="S5" s="19" t="s">
        <v>25</v>
      </c>
      <c r="T5" s="19" t="s">
        <v>26</v>
      </c>
      <c r="U5" s="19" t="s">
        <v>27</v>
      </c>
      <c r="V5" s="19" t="s">
        <v>28</v>
      </c>
      <c r="W5" s="19" t="s">
        <v>29</v>
      </c>
      <c r="X5" s="19" t="s">
        <v>30</v>
      </c>
      <c r="Y5" s="19" t="s">
        <v>31</v>
      </c>
      <c r="Z5" s="19" t="s">
        <v>32</v>
      </c>
      <c r="AA5" s="19" t="s">
        <v>33</v>
      </c>
      <c r="AB5" s="19" t="s">
        <v>34</v>
      </c>
      <c r="AC5" s="13"/>
      <c r="AD5" s="13"/>
      <c r="AE5" s="13"/>
      <c r="AF5" s="13"/>
      <c r="AG5" s="13"/>
      <c r="AH5" s="13"/>
      <c r="AI5" s="13"/>
      <c r="AJ5" s="13"/>
      <c r="AK5" s="13"/>
      <c r="AL5" s="13"/>
      <c r="AM5" s="13"/>
      <c r="AN5" s="13"/>
      <c r="AO5" s="13"/>
      <c r="AP5" s="13"/>
      <c r="AQ5" s="13"/>
      <c r="AR5" s="13"/>
      <c r="AS5" s="13"/>
      <c r="AT5" s="13"/>
      <c r="AU5" s="13"/>
      <c r="AV5" s="13"/>
      <c r="AW5" s="13"/>
      <c r="AX5" s="13"/>
      <c r="AY5" s="13"/>
      <c r="AZ5" s="13"/>
    </row>
    <row r="6" spans="1:52" s="47" customFormat="1" ht="51.75" customHeight="1" x14ac:dyDescent="0.2">
      <c r="A6" s="41" t="s">
        <v>35</v>
      </c>
      <c r="B6" s="41" t="s">
        <v>96</v>
      </c>
      <c r="C6" s="41" t="s">
        <v>95</v>
      </c>
      <c r="D6" s="41" t="s">
        <v>93</v>
      </c>
      <c r="E6" s="41" t="s">
        <v>37</v>
      </c>
      <c r="F6" s="41" t="s">
        <v>36</v>
      </c>
      <c r="G6" s="41" t="s">
        <v>38</v>
      </c>
      <c r="H6" s="41" t="s">
        <v>39</v>
      </c>
      <c r="I6" s="41" t="s">
        <v>40</v>
      </c>
      <c r="J6" s="41" t="s">
        <v>41</v>
      </c>
      <c r="K6" s="42" t="s">
        <v>42</v>
      </c>
      <c r="L6" s="43" t="s">
        <v>43</v>
      </c>
      <c r="M6" s="41" t="s">
        <v>44</v>
      </c>
      <c r="N6" s="41" t="s">
        <v>45</v>
      </c>
      <c r="O6" s="41" t="s">
        <v>46</v>
      </c>
      <c r="P6" s="41" t="s">
        <v>47</v>
      </c>
      <c r="Q6" s="41" t="s">
        <v>48</v>
      </c>
      <c r="R6" s="41" t="s">
        <v>49</v>
      </c>
      <c r="S6" s="41" t="s">
        <v>50</v>
      </c>
      <c r="T6" s="44" t="s">
        <v>51</v>
      </c>
      <c r="U6" s="41" t="s">
        <v>52</v>
      </c>
      <c r="V6" s="41" t="s">
        <v>53</v>
      </c>
      <c r="W6" s="41" t="s">
        <v>54</v>
      </c>
      <c r="X6" s="41" t="s">
        <v>55</v>
      </c>
      <c r="Y6" s="41" t="s">
        <v>56</v>
      </c>
      <c r="Z6" s="41" t="s">
        <v>57</v>
      </c>
      <c r="AA6" s="45" t="s">
        <v>58</v>
      </c>
      <c r="AB6" s="45" t="s">
        <v>59</v>
      </c>
      <c r="AC6" s="46"/>
      <c r="AD6" s="46"/>
      <c r="AE6" s="46"/>
      <c r="AF6" s="46"/>
      <c r="AG6" s="46"/>
      <c r="AH6" s="46"/>
      <c r="AI6" s="46"/>
      <c r="AJ6" s="46"/>
      <c r="AK6" s="46"/>
      <c r="AL6" s="46"/>
      <c r="AM6" s="46"/>
      <c r="AN6" s="46"/>
      <c r="AO6" s="46"/>
      <c r="AP6" s="46"/>
      <c r="AQ6" s="46"/>
      <c r="AR6" s="46"/>
      <c r="AS6" s="46"/>
      <c r="AT6" s="46"/>
      <c r="AU6" s="46"/>
      <c r="AV6" s="46"/>
      <c r="AW6" s="46"/>
      <c r="AX6" s="46"/>
      <c r="AY6" s="46"/>
      <c r="AZ6" s="46"/>
    </row>
    <row r="7" spans="1:52" s="40" customFormat="1" ht="54" customHeight="1" x14ac:dyDescent="0.2">
      <c r="A7" s="36" t="s">
        <v>60</v>
      </c>
      <c r="B7" s="36" t="s">
        <v>61</v>
      </c>
      <c r="C7" s="36" t="s">
        <v>92</v>
      </c>
      <c r="D7" s="36" t="s">
        <v>62</v>
      </c>
      <c r="E7" s="36" t="s">
        <v>64</v>
      </c>
      <c r="F7" s="36" t="s">
        <v>63</v>
      </c>
      <c r="G7" s="36" t="s">
        <v>65</v>
      </c>
      <c r="H7" s="36" t="s">
        <v>62</v>
      </c>
      <c r="I7" s="36" t="s">
        <v>62</v>
      </c>
      <c r="J7" s="36" t="s">
        <v>62</v>
      </c>
      <c r="K7" s="36" t="s">
        <v>6</v>
      </c>
      <c r="L7" s="37" t="s">
        <v>6</v>
      </c>
      <c r="M7" s="38" t="s">
        <v>66</v>
      </c>
      <c r="N7" s="36" t="s">
        <v>67</v>
      </c>
      <c r="O7" s="36" t="s">
        <v>6</v>
      </c>
      <c r="P7" s="36" t="s">
        <v>68</v>
      </c>
      <c r="Q7" s="36" t="s">
        <v>6</v>
      </c>
      <c r="R7" s="36" t="s">
        <v>69</v>
      </c>
      <c r="S7" s="36" t="s">
        <v>70</v>
      </c>
      <c r="T7" s="36" t="s">
        <v>71</v>
      </c>
      <c r="U7" s="36" t="s">
        <v>72</v>
      </c>
      <c r="V7" s="36" t="s">
        <v>72</v>
      </c>
      <c r="W7" s="36" t="s">
        <v>72</v>
      </c>
      <c r="X7" s="36" t="s">
        <v>73</v>
      </c>
      <c r="Y7" s="36" t="s">
        <v>74</v>
      </c>
      <c r="Z7" s="36" t="s">
        <v>62</v>
      </c>
      <c r="AA7" s="39" t="s">
        <v>68</v>
      </c>
      <c r="AB7" s="39" t="s">
        <v>62</v>
      </c>
    </row>
    <row r="8" spans="1:52" s="11" customFormat="1" ht="104.25" customHeight="1" x14ac:dyDescent="0.2">
      <c r="A8" s="49">
        <v>1</v>
      </c>
      <c r="B8" s="49" t="s">
        <v>97</v>
      </c>
      <c r="C8" s="49" t="s">
        <v>98</v>
      </c>
      <c r="D8" s="49" t="s">
        <v>124</v>
      </c>
      <c r="E8" s="50" t="s">
        <v>99</v>
      </c>
      <c r="F8" s="49" t="s">
        <v>131</v>
      </c>
      <c r="G8" s="49" t="s">
        <v>75</v>
      </c>
      <c r="H8" s="49" t="s">
        <v>129</v>
      </c>
      <c r="I8" s="49" t="s">
        <v>76</v>
      </c>
      <c r="J8" s="49" t="s">
        <v>77</v>
      </c>
      <c r="K8" s="51">
        <v>46145</v>
      </c>
      <c r="L8" s="51" t="s">
        <v>76</v>
      </c>
      <c r="M8" s="49" t="s">
        <v>76</v>
      </c>
      <c r="N8" s="49" t="s">
        <v>78</v>
      </c>
      <c r="O8" s="51">
        <v>46145</v>
      </c>
      <c r="P8" s="49" t="s">
        <v>79</v>
      </c>
      <c r="Q8" s="51">
        <v>46145</v>
      </c>
      <c r="R8" s="51" t="s">
        <v>105</v>
      </c>
      <c r="S8" s="49" t="s">
        <v>5</v>
      </c>
      <c r="T8" s="49" t="s">
        <v>80</v>
      </c>
      <c r="U8" s="49" t="s">
        <v>81</v>
      </c>
      <c r="V8" s="49" t="s">
        <v>79</v>
      </c>
      <c r="W8" s="49" t="s">
        <v>81</v>
      </c>
      <c r="X8" s="49" t="s">
        <v>105</v>
      </c>
      <c r="Y8" s="49" t="s">
        <v>105</v>
      </c>
      <c r="Z8" s="49" t="s">
        <v>82</v>
      </c>
      <c r="AA8" s="49" t="s">
        <v>83</v>
      </c>
      <c r="AB8" s="49" t="s">
        <v>105</v>
      </c>
      <c r="AC8" s="2"/>
      <c r="AD8" s="2"/>
      <c r="AE8" s="2"/>
      <c r="AF8" s="2"/>
      <c r="AG8" s="2"/>
      <c r="AH8" s="2"/>
      <c r="AI8" s="2"/>
      <c r="AJ8" s="2"/>
      <c r="AK8" s="2"/>
      <c r="AL8" s="2"/>
      <c r="AM8" s="2"/>
      <c r="AN8" s="2"/>
      <c r="AO8" s="2"/>
      <c r="AP8" s="2"/>
      <c r="AQ8" s="2"/>
      <c r="AR8" s="2"/>
      <c r="AS8" s="2"/>
      <c r="AT8" s="2"/>
      <c r="AU8" s="2"/>
      <c r="AV8" s="2"/>
      <c r="AW8" s="2"/>
      <c r="AX8" s="2"/>
      <c r="AY8" s="2"/>
      <c r="AZ8" s="2"/>
    </row>
    <row r="9" spans="1:52" s="33" customFormat="1" ht="116.25" customHeight="1" x14ac:dyDescent="0.2">
      <c r="A9" s="52">
        <v>2</v>
      </c>
      <c r="B9" s="53" t="s">
        <v>100</v>
      </c>
      <c r="C9" s="54" t="s">
        <v>94</v>
      </c>
      <c r="D9" s="49" t="s">
        <v>124</v>
      </c>
      <c r="E9" s="50" t="s">
        <v>99</v>
      </c>
      <c r="F9" s="49" t="s">
        <v>131</v>
      </c>
      <c r="G9" s="53" t="s">
        <v>75</v>
      </c>
      <c r="H9" s="49" t="s">
        <v>129</v>
      </c>
      <c r="I9" s="49" t="s">
        <v>76</v>
      </c>
      <c r="J9" s="49" t="s">
        <v>77</v>
      </c>
      <c r="K9" s="51">
        <v>46145</v>
      </c>
      <c r="L9" s="51" t="s">
        <v>76</v>
      </c>
      <c r="M9" s="49" t="s">
        <v>76</v>
      </c>
      <c r="N9" s="49" t="s">
        <v>78</v>
      </c>
      <c r="O9" s="51">
        <v>46145</v>
      </c>
      <c r="P9" s="49" t="s">
        <v>79</v>
      </c>
      <c r="Q9" s="51">
        <v>46145</v>
      </c>
      <c r="R9" s="51" t="s">
        <v>105</v>
      </c>
      <c r="S9" s="49" t="s">
        <v>5</v>
      </c>
      <c r="T9" s="49" t="s">
        <v>80</v>
      </c>
      <c r="U9" s="49" t="s">
        <v>81</v>
      </c>
      <c r="V9" s="49" t="s">
        <v>79</v>
      </c>
      <c r="W9" s="49" t="s">
        <v>81</v>
      </c>
      <c r="X9" s="49" t="s">
        <v>105</v>
      </c>
      <c r="Y9" s="49" t="s">
        <v>105</v>
      </c>
      <c r="Z9" s="49" t="s">
        <v>82</v>
      </c>
      <c r="AA9" s="49" t="s">
        <v>83</v>
      </c>
      <c r="AB9" s="49" t="s">
        <v>105</v>
      </c>
    </row>
    <row r="10" spans="1:52" s="2" customFormat="1" ht="103.5" customHeight="1" x14ac:dyDescent="0.2">
      <c r="A10" s="48">
        <v>3</v>
      </c>
      <c r="B10" s="48" t="s">
        <v>101</v>
      </c>
      <c r="C10" s="54" t="s">
        <v>102</v>
      </c>
      <c r="D10" s="54" t="s">
        <v>124</v>
      </c>
      <c r="E10" s="50" t="s">
        <v>99</v>
      </c>
      <c r="F10" s="49" t="s">
        <v>131</v>
      </c>
      <c r="G10" s="53" t="s">
        <v>75</v>
      </c>
      <c r="H10" s="49" t="s">
        <v>129</v>
      </c>
      <c r="I10" s="49" t="s">
        <v>76</v>
      </c>
      <c r="J10" s="49" t="s">
        <v>77</v>
      </c>
      <c r="K10" s="51">
        <v>46145</v>
      </c>
      <c r="L10" s="51" t="s">
        <v>76</v>
      </c>
      <c r="M10" s="49" t="s">
        <v>76</v>
      </c>
      <c r="N10" s="49" t="s">
        <v>78</v>
      </c>
      <c r="O10" s="51">
        <v>46145</v>
      </c>
      <c r="P10" s="49" t="s">
        <v>79</v>
      </c>
      <c r="Q10" s="51">
        <v>46145</v>
      </c>
      <c r="R10" s="51" t="s">
        <v>105</v>
      </c>
      <c r="S10" s="49" t="s">
        <v>5</v>
      </c>
      <c r="T10" s="49" t="s">
        <v>80</v>
      </c>
      <c r="U10" s="49" t="s">
        <v>81</v>
      </c>
      <c r="V10" s="49" t="s">
        <v>79</v>
      </c>
      <c r="W10" s="49" t="s">
        <v>81</v>
      </c>
      <c r="X10" s="49" t="s">
        <v>105</v>
      </c>
      <c r="Y10" s="49" t="s">
        <v>105</v>
      </c>
      <c r="Z10" s="49" t="s">
        <v>82</v>
      </c>
      <c r="AA10" s="49" t="s">
        <v>83</v>
      </c>
      <c r="AB10" s="49" t="s">
        <v>105</v>
      </c>
    </row>
    <row r="11" spans="1:52" s="35" customFormat="1" ht="116.25" customHeight="1" x14ac:dyDescent="0.2">
      <c r="A11" s="48">
        <v>4</v>
      </c>
      <c r="B11" s="48" t="s">
        <v>103</v>
      </c>
      <c r="C11" s="48" t="s">
        <v>104</v>
      </c>
      <c r="D11" s="48" t="s">
        <v>125</v>
      </c>
      <c r="E11" s="55" t="s">
        <v>128</v>
      </c>
      <c r="F11" s="49" t="s">
        <v>131</v>
      </c>
      <c r="G11" s="48" t="s">
        <v>75</v>
      </c>
      <c r="H11" s="49" t="s">
        <v>129</v>
      </c>
      <c r="I11" s="49" t="s">
        <v>76</v>
      </c>
      <c r="J11" s="49" t="s">
        <v>77</v>
      </c>
      <c r="K11" s="51">
        <v>46145</v>
      </c>
      <c r="L11" s="51" t="s">
        <v>76</v>
      </c>
      <c r="M11" s="49" t="s">
        <v>76</v>
      </c>
      <c r="N11" s="49" t="s">
        <v>78</v>
      </c>
      <c r="O11" s="51">
        <v>46145</v>
      </c>
      <c r="P11" s="49" t="s">
        <v>79</v>
      </c>
      <c r="Q11" s="51">
        <v>46145</v>
      </c>
      <c r="R11" s="51" t="s">
        <v>105</v>
      </c>
      <c r="S11" s="49" t="s">
        <v>5</v>
      </c>
      <c r="T11" s="49" t="s">
        <v>80</v>
      </c>
      <c r="U11" s="49" t="s">
        <v>81</v>
      </c>
      <c r="V11" s="49" t="s">
        <v>79</v>
      </c>
      <c r="W11" s="49" t="s">
        <v>81</v>
      </c>
      <c r="X11" s="49" t="s">
        <v>105</v>
      </c>
      <c r="Y11" s="49" t="s">
        <v>105</v>
      </c>
      <c r="Z11" s="49" t="s">
        <v>82</v>
      </c>
      <c r="AA11" s="49" t="s">
        <v>83</v>
      </c>
      <c r="AB11" s="49" t="s">
        <v>105</v>
      </c>
    </row>
    <row r="12" spans="1:52" s="35" customFormat="1" ht="128.25" customHeight="1" x14ac:dyDescent="0.2">
      <c r="A12" s="48">
        <v>5</v>
      </c>
      <c r="B12" s="48" t="s">
        <v>106</v>
      </c>
      <c r="C12" s="48" t="s">
        <v>107</v>
      </c>
      <c r="D12" s="48" t="s">
        <v>125</v>
      </c>
      <c r="E12" s="55" t="s">
        <v>128</v>
      </c>
      <c r="F12" s="49" t="s">
        <v>131</v>
      </c>
      <c r="G12" s="48" t="s">
        <v>75</v>
      </c>
      <c r="H12" s="49" t="s">
        <v>129</v>
      </c>
      <c r="I12" s="49" t="s">
        <v>76</v>
      </c>
      <c r="J12" s="49" t="s">
        <v>77</v>
      </c>
      <c r="K12" s="51">
        <v>46145</v>
      </c>
      <c r="L12" s="51" t="s">
        <v>76</v>
      </c>
      <c r="M12" s="49" t="s">
        <v>76</v>
      </c>
      <c r="N12" s="49" t="s">
        <v>78</v>
      </c>
      <c r="O12" s="51">
        <v>46145</v>
      </c>
      <c r="P12" s="49" t="s">
        <v>79</v>
      </c>
      <c r="Q12" s="51">
        <v>46145</v>
      </c>
      <c r="R12" s="51" t="s">
        <v>105</v>
      </c>
      <c r="S12" s="49" t="s">
        <v>5</v>
      </c>
      <c r="T12" s="49" t="s">
        <v>80</v>
      </c>
      <c r="U12" s="49" t="s">
        <v>81</v>
      </c>
      <c r="V12" s="49" t="s">
        <v>79</v>
      </c>
      <c r="W12" s="49" t="s">
        <v>81</v>
      </c>
      <c r="X12" s="49" t="s">
        <v>105</v>
      </c>
      <c r="Y12" s="49" t="s">
        <v>105</v>
      </c>
      <c r="Z12" s="49" t="s">
        <v>82</v>
      </c>
      <c r="AA12" s="49" t="s">
        <v>83</v>
      </c>
      <c r="AB12" s="49" t="s">
        <v>105</v>
      </c>
    </row>
    <row r="13" spans="1:52" s="35" customFormat="1" ht="103.5" customHeight="1" x14ac:dyDescent="0.2">
      <c r="A13" s="48">
        <v>6</v>
      </c>
      <c r="B13" s="48" t="s">
        <v>108</v>
      </c>
      <c r="C13" s="48" t="s">
        <v>109</v>
      </c>
      <c r="D13" s="48" t="s">
        <v>126</v>
      </c>
      <c r="E13" s="55" t="s">
        <v>110</v>
      </c>
      <c r="F13" s="49" t="s">
        <v>131</v>
      </c>
      <c r="G13" s="48" t="s">
        <v>75</v>
      </c>
      <c r="H13" s="49" t="s">
        <v>129</v>
      </c>
      <c r="I13" s="49" t="s">
        <v>76</v>
      </c>
      <c r="J13" s="49" t="s">
        <v>77</v>
      </c>
      <c r="K13" s="51">
        <v>46145</v>
      </c>
      <c r="L13" s="51" t="s">
        <v>76</v>
      </c>
      <c r="M13" s="49" t="s">
        <v>76</v>
      </c>
      <c r="N13" s="49" t="s">
        <v>78</v>
      </c>
      <c r="O13" s="51">
        <v>46145</v>
      </c>
      <c r="P13" s="49" t="s">
        <v>79</v>
      </c>
      <c r="Q13" s="51">
        <v>46145</v>
      </c>
      <c r="R13" s="51" t="s">
        <v>105</v>
      </c>
      <c r="S13" s="49" t="s">
        <v>5</v>
      </c>
      <c r="T13" s="49" t="s">
        <v>80</v>
      </c>
      <c r="U13" s="49" t="s">
        <v>81</v>
      </c>
      <c r="V13" s="49" t="s">
        <v>79</v>
      </c>
      <c r="W13" s="49" t="s">
        <v>81</v>
      </c>
      <c r="X13" s="49" t="s">
        <v>105</v>
      </c>
      <c r="Y13" s="49" t="s">
        <v>105</v>
      </c>
      <c r="Z13" s="49" t="s">
        <v>82</v>
      </c>
      <c r="AA13" s="49" t="s">
        <v>83</v>
      </c>
      <c r="AB13" s="49" t="s">
        <v>105</v>
      </c>
    </row>
    <row r="14" spans="1:52" s="34" customFormat="1" ht="104.25" customHeight="1" x14ac:dyDescent="0.2">
      <c r="A14" s="56">
        <v>7</v>
      </c>
      <c r="B14" s="48" t="s">
        <v>111</v>
      </c>
      <c r="C14" s="48" t="s">
        <v>112</v>
      </c>
      <c r="D14" s="48" t="s">
        <v>118</v>
      </c>
      <c r="E14" s="48" t="s">
        <v>113</v>
      </c>
      <c r="F14" s="49" t="s">
        <v>131</v>
      </c>
      <c r="G14" s="48" t="s">
        <v>75</v>
      </c>
      <c r="H14" s="49" t="s">
        <v>129</v>
      </c>
      <c r="I14" s="49" t="s">
        <v>76</v>
      </c>
      <c r="J14" s="49" t="s">
        <v>77</v>
      </c>
      <c r="K14" s="51">
        <v>46145</v>
      </c>
      <c r="L14" s="51" t="s">
        <v>76</v>
      </c>
      <c r="M14" s="49" t="s">
        <v>76</v>
      </c>
      <c r="N14" s="49" t="s">
        <v>78</v>
      </c>
      <c r="O14" s="51">
        <v>46145</v>
      </c>
      <c r="P14" s="49" t="s">
        <v>79</v>
      </c>
      <c r="Q14" s="51">
        <v>46145</v>
      </c>
      <c r="R14" s="51" t="s">
        <v>105</v>
      </c>
      <c r="S14" s="49" t="s">
        <v>5</v>
      </c>
      <c r="T14" s="49" t="s">
        <v>80</v>
      </c>
      <c r="U14" s="49" t="s">
        <v>81</v>
      </c>
      <c r="V14" s="49" t="s">
        <v>79</v>
      </c>
      <c r="W14" s="49" t="s">
        <v>81</v>
      </c>
      <c r="X14" s="49" t="s">
        <v>105</v>
      </c>
      <c r="Y14" s="49" t="s">
        <v>105</v>
      </c>
      <c r="Z14" s="49" t="s">
        <v>82</v>
      </c>
      <c r="AA14" s="49" t="s">
        <v>83</v>
      </c>
      <c r="AB14" s="49" t="s">
        <v>105</v>
      </c>
    </row>
    <row r="15" spans="1:52" s="34" customFormat="1" ht="104.25" customHeight="1" x14ac:dyDescent="0.2">
      <c r="A15" s="56">
        <v>8</v>
      </c>
      <c r="B15" s="48" t="s">
        <v>114</v>
      </c>
      <c r="C15" s="48" t="s">
        <v>115</v>
      </c>
      <c r="D15" s="48" t="s">
        <v>134</v>
      </c>
      <c r="E15" s="48" t="s">
        <v>135</v>
      </c>
      <c r="F15" s="49" t="s">
        <v>131</v>
      </c>
      <c r="G15" s="48" t="s">
        <v>75</v>
      </c>
      <c r="H15" s="49" t="s">
        <v>129</v>
      </c>
      <c r="I15" s="49" t="s">
        <v>76</v>
      </c>
      <c r="J15" s="49" t="s">
        <v>77</v>
      </c>
      <c r="K15" s="51">
        <v>46145</v>
      </c>
      <c r="L15" s="51" t="s">
        <v>76</v>
      </c>
      <c r="M15" s="49" t="s">
        <v>76</v>
      </c>
      <c r="N15" s="49" t="s">
        <v>78</v>
      </c>
      <c r="O15" s="51">
        <v>46145</v>
      </c>
      <c r="P15" s="49" t="s">
        <v>79</v>
      </c>
      <c r="Q15" s="51">
        <v>46145</v>
      </c>
      <c r="R15" s="51" t="s">
        <v>105</v>
      </c>
      <c r="S15" s="49" t="s">
        <v>5</v>
      </c>
      <c r="T15" s="49" t="s">
        <v>80</v>
      </c>
      <c r="U15" s="49" t="s">
        <v>81</v>
      </c>
      <c r="V15" s="49" t="s">
        <v>79</v>
      </c>
      <c r="W15" s="49" t="s">
        <v>81</v>
      </c>
      <c r="X15" s="49" t="s">
        <v>105</v>
      </c>
      <c r="Y15" s="49" t="s">
        <v>105</v>
      </c>
      <c r="Z15" s="49" t="s">
        <v>82</v>
      </c>
      <c r="AA15" s="49" t="s">
        <v>83</v>
      </c>
      <c r="AB15" s="49" t="s">
        <v>105</v>
      </c>
    </row>
    <row r="16" spans="1:52" s="34" customFormat="1" ht="104.25" customHeight="1" x14ac:dyDescent="0.2">
      <c r="A16" s="56">
        <v>9</v>
      </c>
      <c r="B16" s="48" t="s">
        <v>116</v>
      </c>
      <c r="C16" s="48" t="s">
        <v>117</v>
      </c>
      <c r="D16" s="48" t="s">
        <v>127</v>
      </c>
      <c r="E16" s="48" t="s">
        <v>119</v>
      </c>
      <c r="F16" s="49" t="s">
        <v>131</v>
      </c>
      <c r="G16" s="48" t="s">
        <v>75</v>
      </c>
      <c r="H16" s="49" t="s">
        <v>129</v>
      </c>
      <c r="I16" s="49" t="s">
        <v>76</v>
      </c>
      <c r="J16" s="49" t="s">
        <v>77</v>
      </c>
      <c r="K16" s="51">
        <v>46145</v>
      </c>
      <c r="L16" s="51" t="s">
        <v>76</v>
      </c>
      <c r="M16" s="49" t="s">
        <v>76</v>
      </c>
      <c r="N16" s="49" t="s">
        <v>78</v>
      </c>
      <c r="O16" s="51">
        <v>46145</v>
      </c>
      <c r="P16" s="49" t="s">
        <v>79</v>
      </c>
      <c r="Q16" s="51">
        <v>46145</v>
      </c>
      <c r="R16" s="51" t="s">
        <v>105</v>
      </c>
      <c r="S16" s="49" t="s">
        <v>5</v>
      </c>
      <c r="T16" s="49" t="s">
        <v>80</v>
      </c>
      <c r="U16" s="49" t="s">
        <v>81</v>
      </c>
      <c r="V16" s="49" t="s">
        <v>79</v>
      </c>
      <c r="W16" s="49" t="s">
        <v>81</v>
      </c>
      <c r="X16" s="49" t="s">
        <v>105</v>
      </c>
      <c r="Y16" s="49" t="s">
        <v>105</v>
      </c>
      <c r="Z16" s="49" t="s">
        <v>82</v>
      </c>
      <c r="AA16" s="49" t="s">
        <v>83</v>
      </c>
      <c r="AB16" s="49" t="s">
        <v>105</v>
      </c>
    </row>
    <row r="17" spans="1:28" s="34" customFormat="1" ht="90" customHeight="1" x14ac:dyDescent="0.2">
      <c r="A17" s="56">
        <v>10</v>
      </c>
      <c r="B17" s="48" t="s">
        <v>120</v>
      </c>
      <c r="C17" s="48" t="s">
        <v>121</v>
      </c>
      <c r="D17" s="48" t="s">
        <v>122</v>
      </c>
      <c r="E17" s="48" t="s">
        <v>123</v>
      </c>
      <c r="F17" s="49" t="s">
        <v>131</v>
      </c>
      <c r="G17" s="48" t="s">
        <v>75</v>
      </c>
      <c r="H17" s="49" t="s">
        <v>129</v>
      </c>
      <c r="I17" s="49" t="s">
        <v>76</v>
      </c>
      <c r="J17" s="49" t="s">
        <v>77</v>
      </c>
      <c r="K17" s="51">
        <v>46145</v>
      </c>
      <c r="L17" s="51" t="s">
        <v>76</v>
      </c>
      <c r="M17" s="49" t="s">
        <v>76</v>
      </c>
      <c r="N17" s="49" t="s">
        <v>78</v>
      </c>
      <c r="O17" s="51">
        <v>46145</v>
      </c>
      <c r="P17" s="49" t="s">
        <v>79</v>
      </c>
      <c r="Q17" s="51">
        <v>46145</v>
      </c>
      <c r="R17" s="51" t="s">
        <v>105</v>
      </c>
      <c r="S17" s="49" t="s">
        <v>5</v>
      </c>
      <c r="T17" s="49" t="s">
        <v>80</v>
      </c>
      <c r="U17" s="49" t="s">
        <v>81</v>
      </c>
      <c r="V17" s="49" t="s">
        <v>79</v>
      </c>
      <c r="W17" s="49" t="s">
        <v>81</v>
      </c>
      <c r="X17" s="49" t="s">
        <v>105</v>
      </c>
      <c r="Y17" s="49" t="s">
        <v>105</v>
      </c>
      <c r="Z17" s="49" t="s">
        <v>82</v>
      </c>
      <c r="AA17" s="49" t="s">
        <v>83</v>
      </c>
      <c r="AB17" s="49" t="s">
        <v>105</v>
      </c>
    </row>
  </sheetData>
  <sheetProtection formatCells="0" formatColumns="0" formatRows="0" insertColumns="0" insertRows="0" insertHyperlinks="0" deleteColumns="0" deleteRows="0" sort="0" autoFilter="0" pivotTables="0"/>
  <mergeCells count="1">
    <mergeCell ref="A1:F1"/>
  </mergeCells>
  <phoneticPr fontId="17" type="noConversion"/>
  <conditionalFormatting sqref="A8:A1048576">
    <cfRule type="duplicateValues" dxfId="13" priority="14"/>
  </conditionalFormatting>
  <conditionalFormatting sqref="C3">
    <cfRule type="containsText" dxfId="12" priority="3" operator="containsText" text="High">
      <formula>NOT(ISERROR(SEARCH(("High"),(C3))))</formula>
    </cfRule>
    <cfRule type="containsText" dxfId="11" priority="4" operator="containsText" text="Moderate">
      <formula>NOT(ISERROR(SEARCH(("Moderate"),(C3))))</formula>
    </cfRule>
    <cfRule type="containsText" dxfId="10" priority="5" operator="containsText" text="Low">
      <formula>NOT(ISERROR(SEARCH(("Low"),(C3))))</formula>
    </cfRule>
    <cfRule type="notContainsBlanks" dxfId="9" priority="6">
      <formula>LEN(TRIM(C3))&gt;0</formula>
    </cfRule>
  </conditionalFormatting>
  <conditionalFormatting sqref="E8:AB8 A8:D13 D9:AB9 E10:F10 F10:AB13 A14:AB17">
    <cfRule type="expression" dxfId="8" priority="2">
      <formula>MOD(ROW(),2)=0</formula>
    </cfRule>
  </conditionalFormatting>
  <conditionalFormatting sqref="M8:M17">
    <cfRule type="expression" dxfId="7" priority="15">
      <formula>NOT(OR(ISBLANK(M8),refind(M8,"^(\(\d+\)\s*\d{1,4}[\\\/\-]\d{1,2}[\\\/\-]\d{1,4}\s*:\s*(.|(.\n.))*\n\n)*(\(\d+\)\s*\d{1,4}[\\\/\-]\d{1,2}[\\\/\-]\d{1,4}\s*:\s*(.|(.\n.))*)(\n\s)*$")))</formula>
    </cfRule>
  </conditionalFormatting>
  <conditionalFormatting sqref="N8:N17">
    <cfRule type="expression" dxfId="6" priority="12">
      <formula>NOT(OR(IF(ISBLANK(N8),TRUE,(TRIM(N8)="")),refind(N8,"^(\(\d+\)\s*(new|update|complete)\s*\d{1,4}[\\\/\-]\d{1,2}[\\\/\-]\d{1,4}\s*:\s*(.|(.\n.))*\n\n)*(\(\d+\)\s*(new|update|complete)\s*\d{1,4}[\\\/\-]\d{1,2}[\\\/\-]\d{1,4}\s*:\s*(.|(.\n.))*)(\n\s)*$")))</formula>
    </cfRule>
  </conditionalFormatting>
  <dataValidations disablePrompts="1" xWindow="824" yWindow="609" count="10">
    <dataValidation type="date" operator="greaterThan" allowBlank="1" showInputMessage="1" showErrorMessage="1" prompt="Date" sqref="D3 R1 P1 O2:O5 O7:O17 Q2:Q17" xr:uid="{00000000-0002-0000-0000-000001000000}">
      <formula1>36526</formula1>
    </dataValidation>
    <dataValidation type="list" allowBlank="1" showInputMessage="1" showErrorMessage="1" prompt="Low, Moderate, High" sqref="C3 T1 S2:S17" xr:uid="{00000000-0002-0000-0000-000002000000}">
      <formula1>"Low,Moderate,High"</formula1>
    </dataValidation>
    <dataValidation type="list" allowBlank="1" showInputMessage="1" showErrorMessage="1" prompt="Low, Moderate, High, N/A" sqref="U1 T2:T5 T7:T17" xr:uid="{00000000-0002-0000-0000-000003000000}">
      <formula1>"Low,Moderate,High,N/A"</formula1>
    </dataValidation>
    <dataValidation type="whole" operator="notEqual" allowBlank="1" showInputMessage="1" showErrorMessage="1" sqref="G1 F2:F4 E5:E6" xr:uid="{00000000-0002-0000-0000-000004000000}">
      <formula1>-9999</formula1>
    </dataValidation>
    <dataValidation type="list" allowBlank="1" showInputMessage="1" showErrorMessage="1" prompt="Yes,No,Pending" sqref="Q1 P2:P6 P8:P17" xr:uid="{00000000-0002-0000-0000-000005000000}">
      <formula1>"Yes,No"</formula1>
    </dataValidation>
    <dataValidation type="list" allowBlank="1" showInputMessage="1" showErrorMessage="1" sqref="P7" xr:uid="{00000000-0002-0000-0000-000008000000}">
      <formula1>"Yes,No"</formula1>
    </dataValidation>
    <dataValidation allowBlank="1" showInputMessage="1" showErrorMessage="1" prompt="Low, Moderate, High, N/A" sqref="T6" xr:uid="{00000000-0002-0000-0000-00000A000000}"/>
    <dataValidation type="list" allowBlank="1" showInputMessage="1" showErrorMessage="1" prompt="Yes,No,Pending" sqref="V1:X1 U2:W17" xr:uid="{00000000-0002-0000-0000-000006000000}">
      <formula1>"Yes, No, Pending"</formula1>
    </dataValidation>
    <dataValidation type="date" operator="notEqual" allowBlank="1" showInputMessage="1" showErrorMessage="1" prompt="Date" sqref="L1 K2:K17" xr:uid="{00000000-0002-0000-0000-000007000000}">
      <formula1>29221</formula1>
    </dataValidation>
    <dataValidation type="date" operator="notEqual" allowBlank="1" showInputMessage="1" showErrorMessage="1" prompt="Date" sqref="M1 L2:L17" xr:uid="{00000000-0002-0000-0000-000009000000}">
      <formula1>1</formula1>
    </dataValidation>
  </dataValidations>
  <pageMargins left="0.7" right="0.7" top="0.75" bottom="0.75" header="0.3" footer="0.3"/>
  <pageSetup scale="21" fitToHeight="0" orientation="landscape" r:id="rId1"/>
  <ignoredErrors>
    <ignoredError sqref="M4023:M1048575"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Z10"/>
  <sheetViews>
    <sheetView topLeftCell="U1" zoomScaleNormal="100" zoomScalePageLayoutView="85" workbookViewId="0">
      <pane ySplit="5" topLeftCell="A6" activePane="bottomLeft" state="frozen"/>
      <selection pane="bottomLeft" activeCell="AC1" sqref="AC1:AD1048576"/>
    </sheetView>
  </sheetViews>
  <sheetFormatPr defaultColWidth="17.28515625" defaultRowHeight="15.75" customHeight="1" x14ac:dyDescent="0.2"/>
  <cols>
    <col min="1" max="28" width="20.85546875" style="1" customWidth="1"/>
    <col min="29" max="16384" width="17.28515625" style="1"/>
  </cols>
  <sheetData>
    <row r="1" spans="1:52" ht="23.25" x14ac:dyDescent="0.2">
      <c r="A1" s="60" t="s">
        <v>84</v>
      </c>
      <c r="B1" s="61"/>
      <c r="C1" s="61"/>
      <c r="D1" s="61"/>
      <c r="E1" s="62"/>
    </row>
    <row r="2" spans="1:52" ht="15.75" customHeight="1" x14ac:dyDescent="0.2">
      <c r="A2" s="15" t="s">
        <v>1</v>
      </c>
      <c r="B2" s="15" t="s">
        <v>2</v>
      </c>
      <c r="C2" s="15" t="s">
        <v>3</v>
      </c>
      <c r="D2" s="15" t="s">
        <v>4</v>
      </c>
    </row>
    <row r="3" spans="1:52" ht="15.75" customHeight="1" x14ac:dyDescent="0.2">
      <c r="A3" s="16" t="s">
        <v>62</v>
      </c>
      <c r="B3" s="16" t="s">
        <v>62</v>
      </c>
      <c r="C3" s="18" t="s">
        <v>85</v>
      </c>
      <c r="D3" s="17" t="s">
        <v>6</v>
      </c>
    </row>
    <row r="4" spans="1:52" ht="15.75" customHeight="1" x14ac:dyDescent="0.2">
      <c r="A4" s="4"/>
      <c r="B4" s="4"/>
      <c r="C4" s="4"/>
      <c r="D4" s="4"/>
    </row>
    <row r="5" spans="1:52" s="14" customFormat="1" ht="25.5" x14ac:dyDescent="0.2">
      <c r="A5" s="19" t="s">
        <v>7</v>
      </c>
      <c r="B5" s="19" t="s">
        <v>8</v>
      </c>
      <c r="C5" s="19" t="s">
        <v>9</v>
      </c>
      <c r="D5" s="19" t="s">
        <v>10</v>
      </c>
      <c r="E5" s="19" t="s">
        <v>11</v>
      </c>
      <c r="F5" s="19" t="s">
        <v>12</v>
      </c>
      <c r="G5" s="19" t="s">
        <v>13</v>
      </c>
      <c r="H5" s="19" t="s">
        <v>14</v>
      </c>
      <c r="I5" s="19" t="s">
        <v>15</v>
      </c>
      <c r="J5" s="19" t="s">
        <v>16</v>
      </c>
      <c r="K5" s="19" t="s">
        <v>17</v>
      </c>
      <c r="L5" s="19" t="s">
        <v>18</v>
      </c>
      <c r="M5" s="19" t="s">
        <v>19</v>
      </c>
      <c r="N5" s="19" t="s">
        <v>20</v>
      </c>
      <c r="O5" s="19" t="s">
        <v>21</v>
      </c>
      <c r="P5" s="19" t="s">
        <v>22</v>
      </c>
      <c r="Q5" s="19" t="s">
        <v>23</v>
      </c>
      <c r="R5" s="19" t="s">
        <v>24</v>
      </c>
      <c r="S5" s="19" t="s">
        <v>25</v>
      </c>
      <c r="T5" s="19" t="s">
        <v>26</v>
      </c>
      <c r="U5" s="19" t="s">
        <v>27</v>
      </c>
      <c r="V5" s="19" t="s">
        <v>28</v>
      </c>
      <c r="W5" s="19" t="s">
        <v>29</v>
      </c>
      <c r="X5" s="19" t="s">
        <v>30</v>
      </c>
      <c r="Y5" s="19" t="s">
        <v>31</v>
      </c>
      <c r="Z5" s="19" t="s">
        <v>32</v>
      </c>
      <c r="AA5" s="19" t="s">
        <v>33</v>
      </c>
      <c r="AB5" s="19" t="s">
        <v>34</v>
      </c>
      <c r="AC5" s="13"/>
      <c r="AD5" s="13"/>
      <c r="AE5" s="13"/>
      <c r="AF5" s="13"/>
      <c r="AG5" s="13"/>
      <c r="AH5" s="13"/>
      <c r="AI5" s="13"/>
      <c r="AJ5" s="13"/>
      <c r="AK5" s="13"/>
      <c r="AL5" s="13"/>
      <c r="AM5" s="13"/>
      <c r="AN5" s="13"/>
      <c r="AO5" s="13"/>
      <c r="AP5" s="13"/>
      <c r="AQ5" s="13"/>
      <c r="AR5" s="13"/>
      <c r="AS5" s="13"/>
      <c r="AT5" s="13"/>
      <c r="AU5" s="13"/>
      <c r="AV5" s="13"/>
      <c r="AW5" s="13"/>
      <c r="AX5" s="13"/>
      <c r="AY5" s="13"/>
      <c r="AZ5" s="13"/>
    </row>
    <row r="6" spans="1:52" s="5" customFormat="1" ht="12.75" x14ac:dyDescent="0.2">
      <c r="M6" s="6"/>
    </row>
    <row r="7" spans="1:52" s="2" customFormat="1" ht="15.75" customHeight="1" x14ac:dyDescent="0.2"/>
    <row r="8" spans="1:52" s="2" customFormat="1" ht="15.75" customHeight="1" x14ac:dyDescent="0.2"/>
    <row r="9" spans="1:52" s="2" customFormat="1" ht="15.75" customHeight="1" x14ac:dyDescent="0.2"/>
    <row r="10" spans="1:52" s="2" customFormat="1" ht="15.75" customHeight="1" x14ac:dyDescent="0.2"/>
  </sheetData>
  <sheetProtection formatCells="0" formatColumns="0" formatRows="0" insertColumns="0" insertRows="0" insertHyperlinks="0" deleteColumns="0" deleteRows="0" sort="0" autoFilter="0" pivotTables="0"/>
  <mergeCells count="1">
    <mergeCell ref="A1:E1"/>
  </mergeCells>
  <conditionalFormatting sqref="A6:A1048576">
    <cfRule type="duplicateValues" dxfId="5" priority="6"/>
  </conditionalFormatting>
  <conditionalFormatting sqref="A6:AB1048576">
    <cfRule type="expression" dxfId="4" priority="1">
      <formula>MOD(ROW(),2)=0</formula>
    </cfRule>
  </conditionalFormatting>
  <conditionalFormatting sqref="C3">
    <cfRule type="containsText" dxfId="3" priority="2" operator="containsText" text="High">
      <formula>NOT(ISERROR(SEARCH(("High"),(C3))))</formula>
    </cfRule>
    <cfRule type="containsText" dxfId="2" priority="3" operator="containsText" text="Moderate">
      <formula>NOT(ISERROR(SEARCH(("Moderate"),(C3))))</formula>
    </cfRule>
    <cfRule type="containsText" dxfId="1" priority="4" operator="containsText" text="Low">
      <formula>NOT(ISERROR(SEARCH(("Low"),(C3))))</formula>
    </cfRule>
    <cfRule type="notContainsBlanks" dxfId="0" priority="5">
      <formula>LEN(TRIM(C3))&gt;0</formula>
    </cfRule>
  </conditionalFormatting>
  <dataValidations count="8">
    <dataValidation type="date" operator="notEqual" allowBlank="1" showInputMessage="1" showErrorMessage="1" prompt="Date" sqref="L5" xr:uid="{DF853C36-95D6-4607-8C45-E1CF6DACF056}">
      <formula1>1</formula1>
    </dataValidation>
    <dataValidation type="date" operator="notEqual" allowBlank="1" showInputMessage="1" showErrorMessage="1" prompt="Date" sqref="K5" xr:uid="{75146731-C392-4DD8-910B-3E53D5A9A125}">
      <formula1>29221</formula1>
    </dataValidation>
    <dataValidation type="list" allowBlank="1" showInputMessage="1" showErrorMessage="1" prompt="Yes,No,Pending" sqref="U5:W5" xr:uid="{56AF11F1-FB81-452B-8683-F47960B60761}">
      <formula1>"Yes, No, Pending"</formula1>
    </dataValidation>
    <dataValidation type="list" allowBlank="1" showInputMessage="1" showErrorMessage="1" prompt="Yes,No,Pending" sqref="P5" xr:uid="{583FE082-C5B0-48B0-A216-F6074B172FC9}">
      <formula1>"Yes,No"</formula1>
    </dataValidation>
    <dataValidation type="whole" operator="notEqual" allowBlank="1" showInputMessage="1" showErrorMessage="1" sqref="F5" xr:uid="{ACAA6191-CC56-48D9-A044-55E847619FDA}">
      <formula1>-9999</formula1>
    </dataValidation>
    <dataValidation type="list" allowBlank="1" showInputMessage="1" showErrorMessage="1" prompt="Low, Moderate, High, N/A" sqref="T5" xr:uid="{480DF8BF-3B2E-4FC0-9D5C-F9879CAAB8D8}">
      <formula1>"Low,Moderate,High,N/A"</formula1>
    </dataValidation>
    <dataValidation type="list" allowBlank="1" showInputMessage="1" showErrorMessage="1" prompt="Low, Moderate, High" sqref="C3 S5" xr:uid="{00000000-0002-0000-0100-000006000000}">
      <formula1>"Low,Moderate,High"</formula1>
    </dataValidation>
    <dataValidation type="date" operator="greaterThan" allowBlank="1" showInputMessage="1" showErrorMessage="1" prompt="Date" sqref="D3 Q5 O5" xr:uid="{00000000-0002-0000-0100-000007000000}">
      <formula1>36526</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F3A3-26CA-3646-82D3-2989B2E1FFDE}">
  <dimension ref="A1:E6"/>
  <sheetViews>
    <sheetView workbookViewId="0">
      <selection activeCell="E4" sqref="E4"/>
    </sheetView>
  </sheetViews>
  <sheetFormatPr defaultColWidth="11.42578125" defaultRowHeight="12.75" x14ac:dyDescent="0.2"/>
  <cols>
    <col min="1" max="1" width="3.28515625" customWidth="1"/>
    <col min="3" max="3" width="66.7109375" customWidth="1"/>
    <col min="5" max="5" width="13.28515625" customWidth="1"/>
  </cols>
  <sheetData>
    <row r="1" spans="1:5" ht="23.25" x14ac:dyDescent="0.25">
      <c r="A1" s="21"/>
      <c r="B1" s="22"/>
      <c r="C1" s="22"/>
      <c r="D1" s="22"/>
      <c r="E1" s="22"/>
    </row>
    <row r="2" spans="1:5" ht="15.75" x14ac:dyDescent="0.25">
      <c r="A2" s="23"/>
      <c r="B2" s="63" t="s">
        <v>86</v>
      </c>
      <c r="C2" s="64"/>
      <c r="D2" s="64"/>
      <c r="E2" s="64"/>
    </row>
    <row r="3" spans="1:5" ht="15" x14ac:dyDescent="0.2">
      <c r="A3" s="23"/>
      <c r="B3" s="30" t="s">
        <v>6</v>
      </c>
      <c r="C3" s="30" t="s">
        <v>87</v>
      </c>
      <c r="D3" s="30" t="s">
        <v>88</v>
      </c>
      <c r="E3" s="30" t="s">
        <v>89</v>
      </c>
    </row>
    <row r="4" spans="1:5" ht="15" x14ac:dyDescent="0.2">
      <c r="A4" s="23"/>
      <c r="B4" s="24">
        <v>45168</v>
      </c>
      <c r="C4" s="25" t="s">
        <v>90</v>
      </c>
      <c r="D4" s="26">
        <v>2</v>
      </c>
      <c r="E4" s="27"/>
    </row>
    <row r="5" spans="1:5" x14ac:dyDescent="0.2">
      <c r="B5" s="28"/>
      <c r="C5" s="29"/>
    </row>
    <row r="6" spans="1:5" x14ac:dyDescent="0.2">
      <c r="B6" s="31"/>
      <c r="C6" s="32"/>
      <c r="D6" s="20"/>
      <c r="E6" s="20"/>
    </row>
  </sheetData>
  <mergeCells count="1">
    <mergeCell ref="B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Open POA&amp;M Items</vt:lpstr>
      <vt:lpstr>Closed POA&amp;M Items</vt:lpstr>
      <vt:lpstr>Record of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FedRAMP® Plan of Action and Milestones (POA&amp;M) Template</dc:title>
  <dc:subject/>
  <dc:creator>FedRAMP PMO</dc:creator>
  <cp:keywords/>
  <dc:description/>
  <cp:lastModifiedBy>Ryan Verrot</cp:lastModifiedBy>
  <cp:revision/>
  <cp:lastPrinted>2026-05-04T01:50:13Z</cp:lastPrinted>
  <dcterms:created xsi:type="dcterms:W3CDTF">2018-01-29T15:17:31Z</dcterms:created>
  <dcterms:modified xsi:type="dcterms:W3CDTF">2026-05-15T00:18:09Z</dcterms:modified>
  <cp:category/>
  <cp:contentStatus/>
</cp:coreProperties>
</file>